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RCADO\Desktop\Data Analysis\Portfolio Projects\MS Excel Projects\Final Form\"/>
    </mc:Choice>
  </mc:AlternateContent>
  <xr:revisionPtr revIDLastSave="0" documentId="13_ncr:1_{C1AF4F27-2F3F-40FC-9306-0532FDA5E571}" xr6:coauthVersionLast="47" xr6:coauthVersionMax="47" xr10:uidLastSave="{00000000-0000-0000-0000-000000000000}"/>
  <bookViews>
    <workbookView xWindow="-120" yWindow="-120" windowWidth="20730" windowHeight="11160" activeTab="1" xr2:uid="{E27D06DA-116C-4802-81CE-B2B6904B18D6}"/>
  </bookViews>
  <sheets>
    <sheet name="Form" sheetId="1" r:id="rId1"/>
    <sheet name="Dashboard" sheetId="2" r:id="rId2"/>
    <sheet name="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2" l="1"/>
  <c r="G6" i="2"/>
  <c r="F6" i="2" a="1"/>
  <c r="F6" i="2" s="1"/>
  <c r="D6" i="2"/>
  <c r="B6" i="2"/>
  <c r="J12" i="1"/>
  <c r="J11" i="1"/>
  <c r="J10" i="1"/>
  <c r="J9" i="1"/>
  <c r="J8" i="1"/>
  <c r="J7" i="1"/>
  <c r="J6" i="1"/>
  <c r="J5" i="1"/>
  <c r="D3" i="2" a="1"/>
  <c r="D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<sst xmlns="http://schemas.openxmlformats.org/spreadsheetml/2006/main" count="148" uniqueCount="98">
  <si>
    <t>First Name:</t>
  </si>
  <si>
    <t>Last Name:</t>
  </si>
  <si>
    <t>Email:</t>
  </si>
  <si>
    <t>Department:</t>
  </si>
  <si>
    <t>Role:</t>
  </si>
  <si>
    <t>Annual Salary</t>
  </si>
  <si>
    <t xml:space="preserve">            First Name:</t>
  </si>
  <si>
    <t xml:space="preserve">            Last Name:</t>
  </si>
  <si>
    <t xml:space="preserve">                      Email:</t>
  </si>
  <si>
    <t>Annual Salary:</t>
  </si>
  <si>
    <t xml:space="preserve">     Department:</t>
  </si>
  <si>
    <t xml:space="preserve">                    Role:</t>
  </si>
  <si>
    <t xml:space="preserve">              Gender:</t>
  </si>
  <si>
    <r>
      <t xml:space="preserve">     </t>
    </r>
    <r>
      <rPr>
        <sz val="26"/>
        <color theme="0"/>
        <rFont val="Aptos Narrow"/>
        <family val="2"/>
        <scheme val="minor"/>
      </rPr>
      <t>Employee Registration</t>
    </r>
    <r>
      <rPr>
        <sz val="26"/>
        <color theme="1"/>
        <rFont val="Aptos Narrow"/>
        <family val="2"/>
        <scheme val="minor"/>
      </rPr>
      <t xml:space="preserve">            </t>
    </r>
  </si>
  <si>
    <t>Operations</t>
  </si>
  <si>
    <t>Food &amp; Beverage</t>
  </si>
  <si>
    <t>Customer Service &amp; Hospitality</t>
  </si>
  <si>
    <t>Maintenance &amp; Security</t>
  </si>
  <si>
    <t>Finance &amp; Administration</t>
  </si>
  <si>
    <t>General Manager</t>
  </si>
  <si>
    <t>Operations Manager</t>
  </si>
  <si>
    <t>Floor Supervisor</t>
  </si>
  <si>
    <t>Chess Equipment Attendant</t>
  </si>
  <si>
    <t>Intern</t>
  </si>
  <si>
    <t>F&amp;B Manager</t>
  </si>
  <si>
    <t>Chef/Cook</t>
  </si>
  <si>
    <t>Waitstaff</t>
  </si>
  <si>
    <t>Dishwasher/Kitchen Helper</t>
  </si>
  <si>
    <t>Receptionist/Concierge</t>
  </si>
  <si>
    <t>Customer Service Representative</t>
  </si>
  <si>
    <t>Event Coordinator</t>
  </si>
  <si>
    <t>Chess Coach/Trainer</t>
  </si>
  <si>
    <t>Maintenance Technician</t>
  </si>
  <si>
    <t>Cleaner/Housekeeping</t>
  </si>
  <si>
    <t>Security Personnel</t>
  </si>
  <si>
    <t>HR Manager</t>
  </si>
  <si>
    <t>Accountant/Bookkeeper</t>
  </si>
  <si>
    <t>Data Entry Clerk</t>
  </si>
  <si>
    <t>First Name</t>
  </si>
  <si>
    <t>Last Name</t>
  </si>
  <si>
    <t>Email</t>
  </si>
  <si>
    <t>DOB</t>
  </si>
  <si>
    <t>Department</t>
  </si>
  <si>
    <t>Role</t>
  </si>
  <si>
    <t>Gender</t>
  </si>
  <si>
    <t>Nebril</t>
  </si>
  <si>
    <t>nebril_rick123@gmail.com</t>
  </si>
  <si>
    <t>Ervon</t>
  </si>
  <si>
    <t>Mercado</t>
  </si>
  <si>
    <t>mercadovon0701@gmail.com</t>
  </si>
  <si>
    <t>DOB(DD/MM/YY):</t>
  </si>
  <si>
    <t>Male</t>
  </si>
  <si>
    <t>Food&amp;Beverage</t>
  </si>
  <si>
    <t>Melissa</t>
  </si>
  <si>
    <t>Female</t>
  </si>
  <si>
    <t>DOB:</t>
  </si>
  <si>
    <t>Larry</t>
  </si>
  <si>
    <t>Pengson</t>
  </si>
  <si>
    <t>lars_pengson@gmail.com</t>
  </si>
  <si>
    <t>lars_match@gmail.com</t>
  </si>
  <si>
    <t>Mathias</t>
  </si>
  <si>
    <t>Angela</t>
  </si>
  <si>
    <t>Garcia</t>
  </si>
  <si>
    <t>angge_garci@gmail.com</t>
  </si>
  <si>
    <t>Julius</t>
  </si>
  <si>
    <t>Cantay</t>
  </si>
  <si>
    <t>juls_cantay@gmail.com</t>
  </si>
  <si>
    <t xml:space="preserve">Edgar </t>
  </si>
  <si>
    <t>Manuel</t>
  </si>
  <si>
    <t>edgie_manuel@gmail.com</t>
  </si>
  <si>
    <t>Nerissa</t>
  </si>
  <si>
    <t>Sandoval</t>
  </si>
  <si>
    <t>rissa_sandoval@gmail.com</t>
  </si>
  <si>
    <t>Sharon</t>
  </si>
  <si>
    <t>Antonio</t>
  </si>
  <si>
    <t>shawie_antonio@gmail.com</t>
  </si>
  <si>
    <t>Mario</t>
  </si>
  <si>
    <t>Pasardan</t>
  </si>
  <si>
    <t>mario_pasards@gmail.com</t>
  </si>
  <si>
    <t>Eugene</t>
  </si>
  <si>
    <t>Dela Cerna</t>
  </si>
  <si>
    <t>euge_cerna@gmail.com</t>
  </si>
  <si>
    <t>Julie</t>
  </si>
  <si>
    <t>Punzalan</t>
  </si>
  <si>
    <t>jules_ponzy@gmail.com</t>
  </si>
  <si>
    <t>Marina</t>
  </si>
  <si>
    <t>Balagtas</t>
  </si>
  <si>
    <t>marina_balagtas@gmail.com</t>
  </si>
  <si>
    <t>Arnel</t>
  </si>
  <si>
    <t>Padua</t>
  </si>
  <si>
    <t>nelpadua@gmail.com</t>
  </si>
  <si>
    <t>Roger</t>
  </si>
  <si>
    <t>Santos</t>
  </si>
  <si>
    <t>roger_santos@gmail.com</t>
  </si>
  <si>
    <t>Engine</t>
  </si>
  <si>
    <t>Angie</t>
  </si>
  <si>
    <t>Maramag</t>
  </si>
  <si>
    <t>ange_maramag@gmail.com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</si>
</sst>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6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FFFFFF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4999237037263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0" xfId="2"/>
    <xf numFmtId="14" fontId="0" fillId="0" borderId="0" xfId="0" applyNumberFormat="1"/>
    <xf numFmtId="0" fontId="5" fillId="0" borderId="0" xfId="0" applyFont="1" applyAlignment="1">
      <alignment horizontal="center" vertical="center"/>
    </xf>
    <xf numFmtId="165" fontId="0" fillId="0" borderId="0" xfId="1" applyNumberFormat="1" applyFont="1"/>
    <xf numFmtId="0" fontId="0" fillId="3" borderId="5" xfId="0" applyFill="1" applyBorder="1"/>
    <xf numFmtId="0" fontId="0" fillId="3" borderId="6" xfId="0" applyFill="1" applyBorder="1"/>
    <xf numFmtId="0" fontId="0" fillId="3" borderId="1" xfId="0" applyFill="1" applyBorder="1"/>
    <xf numFmtId="0" fontId="4" fillId="3" borderId="1" xfId="2" applyFill="1" applyBorder="1"/>
    <xf numFmtId="14" fontId="0" fillId="3" borderId="1" xfId="0" applyNumberFormat="1" applyFill="1" applyBorder="1"/>
    <xf numFmtId="3" fontId="0" fillId="3" borderId="1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6" fillId="0" borderId="0" xfId="0" applyFont="1"/>
    <xf numFmtId="3" fontId="6" fillId="0" borderId="0" xfId="0" applyNumberFormat="1" applyFont="1"/>
    <xf numFmtId="14" fontId="6" fillId="0" borderId="0" xfId="0" applyNumberFormat="1" applyFont="1"/>
    <xf numFmtId="1" fontId="6" fillId="0" borderId="0" xfId="0" applyNumberFormat="1" applyFont="1"/>
    <xf numFmtId="0" fontId="2" fillId="2" borderId="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0" fillId="0" borderId="0" xfId="0" applyFont="1"/>
    <xf numFmtId="3" fontId="0" fillId="0" borderId="0" xfId="0" applyNumberFormat="1" applyFont="1"/>
    <xf numFmtId="3" fontId="0" fillId="0" borderId="0" xfId="0" applyNumberFormat="1"/>
  </cellXfs>
  <cellStyles count="3">
    <cellStyle name="Comma" xfId="1" builtinId="3"/>
    <cellStyle name="Hyperlink" xfId="2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</dxf>
    <dxf>
      <numFmt numFmtId="166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561974</xdr:colOff>
      <xdr:row>1</xdr:row>
      <xdr:rowOff>133351</xdr:rowOff>
    </xdr:from>
    <xdr:to>
      <xdr:col>6</xdr:col>
      <xdr:colOff>904875</xdr:colOff>
      <xdr:row>3</xdr:row>
      <xdr:rowOff>95252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8BF123-A8AD-B814-2AF3-F6B068507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49" y="323851"/>
          <a:ext cx="342901" cy="342901"/>
        </a:xfrm>
        <a:prstGeom prst="rect">
          <a:avLst/>
        </a:prstGeom>
      </xdr:spPr>
    </xdr:pic>
    <xdr:clientData/>
  </xdr:twoCellAnchor>
  <xdr:oneCellAnchor>
    <xdr:from>
      <xdr:col>6</xdr:col>
      <xdr:colOff>800101</xdr:colOff>
      <xdr:row>1</xdr:row>
      <xdr:rowOff>66674</xdr:rowOff>
    </xdr:from>
    <xdr:ext cx="704850" cy="48577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913862C-4474-F65C-6B20-BED16DC574F3}"/>
            </a:ext>
          </a:extLst>
        </xdr:cNvPr>
        <xdr:cNvSpPr txBox="1"/>
      </xdr:nvSpPr>
      <xdr:spPr>
        <a:xfrm>
          <a:off x="5934076" y="257174"/>
          <a:ext cx="704850" cy="4857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200" b="1" i="1">
              <a:solidFill>
                <a:schemeClr val="bg1"/>
              </a:solidFill>
            </a:rPr>
            <a:t>Energie     Ches</a:t>
          </a:r>
          <a:r>
            <a:rPr lang="en-US" sz="1100" b="1" i="1">
              <a:solidFill>
                <a:schemeClr val="bg1"/>
              </a:solidFill>
            </a:rPr>
            <a:t>s</a:t>
          </a:r>
          <a:r>
            <a:rPr lang="en-US" sz="1100"/>
            <a:t>	</a:t>
          </a:r>
        </a:p>
      </xdr:txBody>
    </xdr:sp>
    <xdr:clientData/>
  </xdr:oneCellAnchor>
  <xdr:twoCellAnchor>
    <xdr:from>
      <xdr:col>4</xdr:col>
      <xdr:colOff>0</xdr:colOff>
      <xdr:row>13</xdr:row>
      <xdr:rowOff>76200</xdr:rowOff>
    </xdr:from>
    <xdr:to>
      <xdr:col>5</xdr:col>
      <xdr:colOff>533400</xdr:colOff>
      <xdr:row>14</xdr:row>
      <xdr:rowOff>161925</xdr:rowOff>
    </xdr:to>
    <xdr:sp macro="[0]!Macro2" textlink="">
      <xdr:nvSpPr>
        <xdr:cNvPr id="6" name="Rectangle 5">
          <a:extLst>
            <a:ext uri="{FF2B5EF4-FFF2-40B4-BE49-F238E27FC236}">
              <a16:creationId xmlns:a16="http://schemas.microsoft.com/office/drawing/2014/main" id="{D65E1F0B-E7A5-BC8F-C555-E350CA60C11F}"/>
            </a:ext>
          </a:extLst>
        </xdr:cNvPr>
        <xdr:cNvSpPr/>
      </xdr:nvSpPr>
      <xdr:spPr>
        <a:xfrm>
          <a:off x="3600450" y="2552700"/>
          <a:ext cx="1143000" cy="276225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Submit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171450</xdr:rowOff>
    </xdr:from>
    <xdr:to>
      <xdr:col>3</xdr:col>
      <xdr:colOff>19050</xdr:colOff>
      <xdr:row>4</xdr:row>
      <xdr:rowOff>171450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BB86E6F-F950-7E52-9F19-A6BAA6E758C3}"/>
            </a:ext>
          </a:extLst>
        </xdr:cNvPr>
        <xdr:cNvGrpSpPr/>
      </xdr:nvGrpSpPr>
      <xdr:grpSpPr>
        <a:xfrm>
          <a:off x="676275" y="171450"/>
          <a:ext cx="1628775" cy="809625"/>
          <a:chOff x="723900" y="171450"/>
          <a:chExt cx="1457325" cy="8096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C244044-C59E-7B9F-1168-E1722BE13C4A}"/>
              </a:ext>
            </a:extLst>
          </xdr:cNvPr>
          <xdr:cNvSpPr/>
        </xdr:nvSpPr>
        <xdr:spPr>
          <a:xfrm>
            <a:off x="723900" y="171450"/>
            <a:ext cx="1457325" cy="809625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5F17270D-44C7-4838-0BD1-45EA7042CE22}"/>
              </a:ext>
            </a:extLst>
          </xdr:cNvPr>
          <xdr:cNvSpPr txBox="1"/>
        </xdr:nvSpPr>
        <xdr:spPr>
          <a:xfrm>
            <a:off x="828675" y="276226"/>
            <a:ext cx="1247775" cy="2667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Employee</a:t>
            </a:r>
            <a:r>
              <a:rPr lang="en-US" sz="1200">
                <a:solidFill>
                  <a:schemeClr val="bg1"/>
                </a:solidFill>
              </a:rPr>
              <a:t> Count</a:t>
            </a:r>
          </a:p>
        </xdr:txBody>
      </xdr:sp>
      <xdr:sp macro="" textlink="$B$6">
        <xdr:nvSpPr>
          <xdr:cNvPr id="11" name="TextBox 10">
            <a:extLst>
              <a:ext uri="{FF2B5EF4-FFF2-40B4-BE49-F238E27FC236}">
                <a16:creationId xmlns:a16="http://schemas.microsoft.com/office/drawing/2014/main" id="{2FEB5D41-DDC1-8727-1ACC-69CD105598DF}"/>
              </a:ext>
            </a:extLst>
          </xdr:cNvPr>
          <xdr:cNvSpPr txBox="1"/>
        </xdr:nvSpPr>
        <xdr:spPr>
          <a:xfrm>
            <a:off x="819150" y="552450"/>
            <a:ext cx="1257300" cy="371475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0FCFCCF-2692-45AD-9E08-9FBF3E5651CC}" type="TxLink">
              <a:rPr lang="en-US" sz="2000" b="0" i="0" u="none" strike="noStrike">
                <a:solidFill>
                  <a:schemeClr val="bg1"/>
                </a:solidFill>
                <a:latin typeface="Aptos Narrow"/>
              </a:rPr>
              <a:pPr algn="ctr"/>
              <a:t>16</a:t>
            </a:fld>
            <a:endParaRPr lang="en-US" sz="20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3</xdr:col>
      <xdr:colOff>208657</xdr:colOff>
      <xdr:row>0</xdr:row>
      <xdr:rowOff>171450</xdr:rowOff>
    </xdr:from>
    <xdr:to>
      <xdr:col>4</xdr:col>
      <xdr:colOff>27681</xdr:colOff>
      <xdr:row>4</xdr:row>
      <xdr:rowOff>171450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8A5A533C-EF7E-467E-BF14-912E348C0226}"/>
            </a:ext>
          </a:extLst>
        </xdr:cNvPr>
        <xdr:cNvGrpSpPr/>
      </xdr:nvGrpSpPr>
      <xdr:grpSpPr>
        <a:xfrm>
          <a:off x="2494657" y="171450"/>
          <a:ext cx="1666874" cy="809625"/>
          <a:chOff x="723900" y="171450"/>
          <a:chExt cx="1457325" cy="8096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3377A49-1CE7-3B41-A0C7-289BE3203586}"/>
              </a:ext>
            </a:extLst>
          </xdr:cNvPr>
          <xdr:cNvSpPr/>
        </xdr:nvSpPr>
        <xdr:spPr>
          <a:xfrm>
            <a:off x="723900" y="171450"/>
            <a:ext cx="1457325" cy="809625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EE1627B9-4E4F-0BC1-CEE2-B55D7B142FBA}"/>
              </a:ext>
            </a:extLst>
          </xdr:cNvPr>
          <xdr:cNvSpPr txBox="1"/>
        </xdr:nvSpPr>
        <xdr:spPr>
          <a:xfrm>
            <a:off x="828675" y="276226"/>
            <a:ext cx="1247775" cy="2667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200">
                <a:solidFill>
                  <a:schemeClr val="bg1"/>
                </a:solidFill>
              </a:rPr>
              <a:t>Average</a:t>
            </a:r>
            <a:r>
              <a:rPr lang="en-US" sz="1200" baseline="0">
                <a:solidFill>
                  <a:schemeClr val="bg1"/>
                </a:solidFill>
              </a:rPr>
              <a:t> Salary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$D$6">
        <xdr:nvSpPr>
          <xdr:cNvPr id="18" name="TextBox 17">
            <a:extLst>
              <a:ext uri="{FF2B5EF4-FFF2-40B4-BE49-F238E27FC236}">
                <a16:creationId xmlns:a16="http://schemas.microsoft.com/office/drawing/2014/main" id="{1042A41C-F8B8-AB37-9EAE-20F00B0BC7A8}"/>
              </a:ext>
            </a:extLst>
          </xdr:cNvPr>
          <xdr:cNvSpPr txBox="1"/>
        </xdr:nvSpPr>
        <xdr:spPr>
          <a:xfrm>
            <a:off x="819150" y="552450"/>
            <a:ext cx="1257300" cy="371475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77BB820-CFC5-4830-9971-97DB01907357}" type="TxLink">
              <a:rPr lang="en-US" sz="2000" b="0" i="0" u="none" strike="noStrike">
                <a:solidFill>
                  <a:schemeClr val="bg1"/>
                </a:solidFill>
                <a:latin typeface="Aptos Narrow"/>
              </a:rPr>
              <a:pPr algn="ctr"/>
              <a:t>54,688</a:t>
            </a:fld>
            <a:endParaRPr lang="en-US" sz="40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217288</xdr:colOff>
      <xdr:row>0</xdr:row>
      <xdr:rowOff>171450</xdr:rowOff>
    </xdr:from>
    <xdr:to>
      <xdr:col>5</xdr:col>
      <xdr:colOff>1131688</xdr:colOff>
      <xdr:row>4</xdr:row>
      <xdr:rowOff>171450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ABC6079-C112-4B60-B10C-F8A8CABA5275}"/>
            </a:ext>
          </a:extLst>
        </xdr:cNvPr>
        <xdr:cNvGrpSpPr/>
      </xdr:nvGrpSpPr>
      <xdr:grpSpPr>
        <a:xfrm>
          <a:off x="4351138" y="171450"/>
          <a:ext cx="1609725" cy="809625"/>
          <a:chOff x="723900" y="171450"/>
          <a:chExt cx="1457325" cy="809625"/>
        </a:xfrm>
      </xdr:grpSpPr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FA40084F-BA81-B3CF-FEAD-41D69AF46C0F}"/>
              </a:ext>
            </a:extLst>
          </xdr:cNvPr>
          <xdr:cNvSpPr/>
        </xdr:nvSpPr>
        <xdr:spPr>
          <a:xfrm>
            <a:off x="723900" y="171450"/>
            <a:ext cx="1457325" cy="809625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DF432A43-3065-4012-77D9-84D5657F4B9B}"/>
              </a:ext>
            </a:extLst>
          </xdr:cNvPr>
          <xdr:cNvSpPr txBox="1"/>
        </xdr:nvSpPr>
        <xdr:spPr>
          <a:xfrm>
            <a:off x="828675" y="276226"/>
            <a:ext cx="1247775" cy="2667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200">
                <a:solidFill>
                  <a:schemeClr val="bg1"/>
                </a:solidFill>
              </a:rPr>
              <a:t>Average Age </a:t>
            </a:r>
          </a:p>
        </xdr:txBody>
      </xdr:sp>
      <xdr:sp macro="" textlink="$F$6">
        <xdr:nvSpPr>
          <xdr:cNvPr id="22" name="TextBox 21">
            <a:extLst>
              <a:ext uri="{FF2B5EF4-FFF2-40B4-BE49-F238E27FC236}">
                <a16:creationId xmlns:a16="http://schemas.microsoft.com/office/drawing/2014/main" id="{2BF50FE2-4555-F9A5-9AFF-BA22104B9F21}"/>
              </a:ext>
            </a:extLst>
          </xdr:cNvPr>
          <xdr:cNvSpPr txBox="1"/>
        </xdr:nvSpPr>
        <xdr:spPr>
          <a:xfrm>
            <a:off x="819150" y="552450"/>
            <a:ext cx="1257300" cy="371475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D4EA8BC-AE66-484A-B4F6-2317AABF2F7D}" type="TxLink">
              <a:rPr lang="en-US" sz="2000" b="0" i="0" u="none" strike="noStrike">
                <a:solidFill>
                  <a:schemeClr val="bg1"/>
                </a:solidFill>
                <a:latin typeface="Aptos Narrow"/>
              </a:rPr>
              <a:pPr algn="ctr"/>
              <a:t>32</a:t>
            </a:fld>
            <a:endParaRPr lang="en-US" sz="40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1321295</xdr:colOff>
      <xdr:row>0</xdr:row>
      <xdr:rowOff>171450</xdr:rowOff>
    </xdr:from>
    <xdr:to>
      <xdr:col>6</xdr:col>
      <xdr:colOff>1458218</xdr:colOff>
      <xdr:row>4</xdr:row>
      <xdr:rowOff>171450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6283C024-EA7C-4D27-8A9D-48A84C541639}"/>
            </a:ext>
          </a:extLst>
        </xdr:cNvPr>
        <xdr:cNvGrpSpPr/>
      </xdr:nvGrpSpPr>
      <xdr:grpSpPr>
        <a:xfrm>
          <a:off x="6150470" y="171450"/>
          <a:ext cx="1718073" cy="809625"/>
          <a:chOff x="723900" y="171450"/>
          <a:chExt cx="1457325" cy="809625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1F697BD5-B8C8-2143-5ACA-1FFD9027D443}"/>
              </a:ext>
            </a:extLst>
          </xdr:cNvPr>
          <xdr:cNvSpPr/>
        </xdr:nvSpPr>
        <xdr:spPr>
          <a:xfrm>
            <a:off x="723900" y="171450"/>
            <a:ext cx="1457325" cy="809625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18DFDF2B-DD95-F624-943C-95DF6F6E249D}"/>
              </a:ext>
            </a:extLst>
          </xdr:cNvPr>
          <xdr:cNvSpPr txBox="1"/>
        </xdr:nvSpPr>
        <xdr:spPr>
          <a:xfrm>
            <a:off x="828675" y="276226"/>
            <a:ext cx="1247775" cy="2667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200">
                <a:solidFill>
                  <a:schemeClr val="bg1"/>
                </a:solidFill>
              </a:rPr>
              <a:t>Female Count</a:t>
            </a:r>
          </a:p>
        </xdr:txBody>
      </xdr:sp>
      <xdr:sp macro="" textlink="$G$6">
        <xdr:nvSpPr>
          <xdr:cNvPr id="26" name="TextBox 25">
            <a:extLst>
              <a:ext uri="{FF2B5EF4-FFF2-40B4-BE49-F238E27FC236}">
                <a16:creationId xmlns:a16="http://schemas.microsoft.com/office/drawing/2014/main" id="{4828CCAB-227F-20C1-99BB-F726BBFAA140}"/>
              </a:ext>
            </a:extLst>
          </xdr:cNvPr>
          <xdr:cNvSpPr txBox="1"/>
        </xdr:nvSpPr>
        <xdr:spPr>
          <a:xfrm>
            <a:off x="819150" y="552450"/>
            <a:ext cx="1257300" cy="371475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633C989-B987-4C51-BBBD-CC8A23637EFE}" type="TxLink">
              <a:rPr lang="en-US" sz="2000" b="0" i="0" u="none" strike="noStrike">
                <a:solidFill>
                  <a:schemeClr val="bg1"/>
                </a:solidFill>
                <a:latin typeface="Aptos Narrow"/>
              </a:rPr>
              <a:pPr algn="ctr"/>
              <a:t>8</a:t>
            </a:fld>
            <a:endParaRPr lang="en-US" sz="40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1647825</xdr:colOff>
      <xdr:row>0</xdr:row>
      <xdr:rowOff>171450</xdr:rowOff>
    </xdr:from>
    <xdr:to>
      <xdr:col>9</xdr:col>
      <xdr:colOff>19049</xdr:colOff>
      <xdr:row>4</xdr:row>
      <xdr:rowOff>171450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715C48C-01A3-438B-BFE3-989F3BF31A8D}"/>
            </a:ext>
          </a:extLst>
        </xdr:cNvPr>
        <xdr:cNvGrpSpPr/>
      </xdr:nvGrpSpPr>
      <xdr:grpSpPr>
        <a:xfrm>
          <a:off x="8058150" y="171450"/>
          <a:ext cx="1704974" cy="809625"/>
          <a:chOff x="723900" y="171450"/>
          <a:chExt cx="1457325" cy="8096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62BB4-ADE8-4FE8-7D08-7439C217FF7C}"/>
              </a:ext>
            </a:extLst>
          </xdr:cNvPr>
          <xdr:cNvSpPr/>
        </xdr:nvSpPr>
        <xdr:spPr>
          <a:xfrm>
            <a:off x="723900" y="171450"/>
            <a:ext cx="1457325" cy="809625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4E66562D-C81A-B12E-F3BF-20B6403425F7}"/>
              </a:ext>
            </a:extLst>
          </xdr:cNvPr>
          <xdr:cNvSpPr txBox="1"/>
        </xdr:nvSpPr>
        <xdr:spPr>
          <a:xfrm>
            <a:off x="828675" y="276226"/>
            <a:ext cx="1247775" cy="2667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200">
                <a:solidFill>
                  <a:schemeClr val="bg1"/>
                </a:solidFill>
              </a:rPr>
              <a:t>Intern Count</a:t>
            </a:r>
          </a:p>
        </xdr:txBody>
      </xdr:sp>
      <xdr:sp macro="" textlink="$I$6">
        <xdr:nvSpPr>
          <xdr:cNvPr id="30" name="TextBox 29">
            <a:extLst>
              <a:ext uri="{FF2B5EF4-FFF2-40B4-BE49-F238E27FC236}">
                <a16:creationId xmlns:a16="http://schemas.microsoft.com/office/drawing/2014/main" id="{F979BFE4-5DDB-27AB-12BB-F62C9E45D4C4}"/>
              </a:ext>
            </a:extLst>
          </xdr:cNvPr>
          <xdr:cNvSpPr txBox="1"/>
        </xdr:nvSpPr>
        <xdr:spPr>
          <a:xfrm>
            <a:off x="819150" y="552450"/>
            <a:ext cx="1257300" cy="371475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2B7E572-6EFF-460A-801A-FC512413924B}" type="TxLink">
              <a:rPr lang="en-US" sz="2000" b="0" i="0" u="none" strike="noStrike">
                <a:solidFill>
                  <a:schemeClr val="bg1"/>
                </a:solidFill>
                <a:latin typeface="Aptos Narrow"/>
              </a:rPr>
              <a:pPr algn="ctr"/>
              <a:t>3</a:t>
            </a:fld>
            <a:endParaRPr lang="en-US" sz="40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D2CD9B-0FEC-480D-961B-06FC0089205C}" name="Table1" displayName="Table1" ref="B7:I23" totalsRowShown="0">
  <autoFilter ref="B7:I23" xr:uid="{2BD2CD9B-0FEC-480D-961B-06FC0089205C}"/>
  <tableColumns count="8">
    <tableColumn id="1" xr3:uid="{99B52CA4-DAC3-44BA-AC06-DF863B511327}" name="First Name"/>
    <tableColumn id="2" xr3:uid="{12EF7C5D-0FEF-408D-8423-54FEEFB9E41C}" name="Last Name"/>
    <tableColumn id="3" xr3:uid="{AA94BF34-F347-47B3-835B-41A3D97A25A2}" name="Email"/>
    <tableColumn id="4" xr3:uid="{089C8AA8-0E6F-492A-B094-31423AD23BDA}" name="DOB" dataDxfId="1"/>
    <tableColumn id="5" xr3:uid="{0EB62425-7289-4C0D-9DF6-FB7987CD8EBE}" name="Department"/>
    <tableColumn id="6" xr3:uid="{FF3463BA-73EE-47A2-B9ED-DDDF7AA8A29A}" name="Role"/>
    <tableColumn id="7" xr3:uid="{78479B83-F3BC-4E16-B2E6-B2C839B65122}" name="Gender"/>
    <tableColumn id="8" xr3:uid="{210A24EF-CF29-4F26-ABF1-077B4F6857DF}" name="Annual Salary" dataDxfId="0" dataCellStyle="Comma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roger_santos@g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mercadovon0701@gmail.com" TargetMode="External"/><Relationship Id="rId1" Type="http://schemas.openxmlformats.org/officeDocument/2006/relationships/hyperlink" Target="mailto:nebril_rick123@gmail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ange_maramag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0C11-D4DB-459B-9AD9-69B8AD5CE771}">
  <sheetPr codeName="Sheet1"/>
  <dimension ref="C2:J17"/>
  <sheetViews>
    <sheetView workbookViewId="0">
      <selection activeCell="D6" sqref="D6"/>
    </sheetView>
  </sheetViews>
  <sheetFormatPr defaultRowHeight="15" x14ac:dyDescent="0.25"/>
  <cols>
    <col min="3" max="3" width="16.140625" bestFit="1" customWidth="1"/>
    <col min="4" max="4" width="19.5703125" bestFit="1" customWidth="1"/>
    <col min="6" max="6" width="13.85546875" bestFit="1" customWidth="1"/>
    <col min="7" max="7" width="26.7109375" customWidth="1"/>
    <col min="8" max="8" width="3.5703125" customWidth="1"/>
    <col min="9" max="9" width="13.28515625" bestFit="1" customWidth="1"/>
    <col min="10" max="10" width="10.42578125" bestFit="1" customWidth="1"/>
  </cols>
  <sheetData>
    <row r="2" spans="3:10" ht="15" customHeight="1" x14ac:dyDescent="0.25">
      <c r="C2" s="27" t="s">
        <v>13</v>
      </c>
      <c r="D2" s="28"/>
      <c r="E2" s="28"/>
      <c r="F2" s="28"/>
      <c r="G2" s="28"/>
      <c r="H2" s="28"/>
    </row>
    <row r="3" spans="3:10" x14ac:dyDescent="0.25">
      <c r="C3" s="27"/>
      <c r="D3" s="28"/>
      <c r="E3" s="28"/>
      <c r="F3" s="28"/>
      <c r="G3" s="28"/>
      <c r="H3" s="28"/>
    </row>
    <row r="4" spans="3:10" x14ac:dyDescent="0.25">
      <c r="C4" s="27"/>
      <c r="D4" s="28"/>
      <c r="E4" s="28"/>
      <c r="F4" s="28"/>
      <c r="G4" s="28"/>
      <c r="H4" s="28"/>
    </row>
    <row r="5" spans="3:10" x14ac:dyDescent="0.25">
      <c r="C5" s="19"/>
      <c r="D5" s="20"/>
      <c r="E5" s="20"/>
      <c r="F5" s="20"/>
      <c r="G5" s="20"/>
      <c r="H5" s="21"/>
      <c r="I5" s="23" t="s">
        <v>0</v>
      </c>
      <c r="J5" s="23">
        <f>D6</f>
        <v>0</v>
      </c>
    </row>
    <row r="6" spans="3:10" x14ac:dyDescent="0.25">
      <c r="C6" s="10" t="s">
        <v>6</v>
      </c>
      <c r="D6" s="12"/>
      <c r="E6" s="22"/>
      <c r="F6" s="22" t="s">
        <v>10</v>
      </c>
      <c r="G6" s="12"/>
      <c r="H6" s="11"/>
      <c r="I6" s="23" t="s">
        <v>1</v>
      </c>
      <c r="J6" s="23">
        <f>D8</f>
        <v>0</v>
      </c>
    </row>
    <row r="7" spans="3:10" x14ac:dyDescent="0.25">
      <c r="C7" s="10"/>
      <c r="D7" s="22"/>
      <c r="E7" s="22"/>
      <c r="F7" s="22"/>
      <c r="G7" s="22"/>
      <c r="H7" s="11"/>
      <c r="I7" s="23" t="s">
        <v>2</v>
      </c>
      <c r="J7" s="23">
        <f>D10</f>
        <v>0</v>
      </c>
    </row>
    <row r="8" spans="3:10" x14ac:dyDescent="0.25">
      <c r="C8" s="10" t="s">
        <v>7</v>
      </c>
      <c r="D8" s="12"/>
      <c r="E8" s="22"/>
      <c r="F8" s="22" t="s">
        <v>11</v>
      </c>
      <c r="G8" s="12"/>
      <c r="H8" s="11"/>
      <c r="I8" s="23" t="s">
        <v>55</v>
      </c>
      <c r="J8" s="25">
        <f>D12</f>
        <v>0</v>
      </c>
    </row>
    <row r="9" spans="3:10" x14ac:dyDescent="0.25">
      <c r="C9" s="10"/>
      <c r="D9" s="22"/>
      <c r="E9" s="22"/>
      <c r="F9" s="22"/>
      <c r="G9" s="22"/>
      <c r="H9" s="11"/>
      <c r="I9" s="23" t="s">
        <v>3</v>
      </c>
      <c r="J9" s="23">
        <f>G6</f>
        <v>0</v>
      </c>
    </row>
    <row r="10" spans="3:10" x14ac:dyDescent="0.25">
      <c r="C10" s="10" t="s">
        <v>8</v>
      </c>
      <c r="D10" s="13"/>
      <c r="E10" s="22"/>
      <c r="F10" s="22" t="s">
        <v>12</v>
      </c>
      <c r="G10" s="12"/>
      <c r="H10" s="11"/>
      <c r="I10" s="23" t="s">
        <v>4</v>
      </c>
      <c r="J10" s="23">
        <f>G8</f>
        <v>0</v>
      </c>
    </row>
    <row r="11" spans="3:10" x14ac:dyDescent="0.25">
      <c r="C11" s="10"/>
      <c r="D11" s="22"/>
      <c r="E11" s="22"/>
      <c r="F11" s="22"/>
      <c r="G11" s="22"/>
      <c r="H11" s="11"/>
      <c r="I11" s="23" t="s">
        <v>44</v>
      </c>
      <c r="J11" s="23">
        <f>G10</f>
        <v>0</v>
      </c>
    </row>
    <row r="12" spans="3:10" x14ac:dyDescent="0.25">
      <c r="C12" s="10" t="s">
        <v>50</v>
      </c>
      <c r="D12" s="14"/>
      <c r="E12" s="22"/>
      <c r="F12" s="22" t="s">
        <v>9</v>
      </c>
      <c r="G12" s="15"/>
      <c r="H12" s="11"/>
      <c r="I12" s="23" t="s">
        <v>5</v>
      </c>
      <c r="J12" s="24">
        <f>G12</f>
        <v>0</v>
      </c>
    </row>
    <row r="13" spans="3:10" x14ac:dyDescent="0.25">
      <c r="C13" s="10"/>
      <c r="D13" s="22"/>
      <c r="E13" s="22"/>
      <c r="F13" s="22"/>
      <c r="G13" s="22"/>
      <c r="H13" s="11"/>
    </row>
    <row r="14" spans="3:10" x14ac:dyDescent="0.25">
      <c r="C14" s="10"/>
      <c r="D14" s="22"/>
      <c r="E14" s="22"/>
      <c r="F14" s="22"/>
      <c r="G14" s="22"/>
      <c r="H14" s="11"/>
    </row>
    <row r="15" spans="3:10" x14ac:dyDescent="0.25">
      <c r="C15" s="10"/>
      <c r="D15" s="22"/>
      <c r="E15" s="22"/>
      <c r="F15" s="22"/>
      <c r="G15" s="22"/>
      <c r="H15" s="11"/>
    </row>
    <row r="16" spans="3:10" x14ac:dyDescent="0.25">
      <c r="C16" s="10"/>
      <c r="D16" s="22"/>
      <c r="E16" s="22"/>
      <c r="F16" s="22"/>
      <c r="G16" s="22"/>
      <c r="H16" s="11"/>
    </row>
    <row r="17" spans="3:8" x14ac:dyDescent="0.25">
      <c r="C17" s="16"/>
      <c r="D17" s="17"/>
      <c r="E17" s="17"/>
      <c r="F17" s="17"/>
      <c r="G17" s="17"/>
      <c r="H17" s="18"/>
    </row>
  </sheetData>
  <mergeCells count="1">
    <mergeCell ref="C2:H4"/>
  </mergeCells>
  <dataValidations count="1">
    <dataValidation type="custom" allowBlank="1" showInputMessage="1" showErrorMessage="1" error="Name is required" sqref="D8" xr:uid="{CED70AE8-F07B-4819-8473-E5D01339BE41}">
      <formula1>LEN(D8)&gt;0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DA3488-18B0-459D-8DDB-32C0DA4F4323}">
          <x14:formula1>
            <xm:f>Data!$B$2:$F$2</xm:f>
          </x14:formula1>
          <xm:sqref>G6</xm:sqref>
        </x14:dataValidation>
        <x14:dataValidation type="list" allowBlank="1" showInputMessage="1" showErrorMessage="1" xr:uid="{3A809902-F472-46AD-8709-82C4650EDCA8}">
          <x14:formula1>
            <xm:f>_xlfn.XLOOKUP(G6,Data!B2:F2,Data!B3:F8,"")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7CE8-9653-481D-A9BE-7574BB3FE81A}">
  <sheetPr codeName="Sheet2"/>
  <dimension ref="B3:I23"/>
  <sheetViews>
    <sheetView showGridLines="0" tabSelected="1" workbookViewId="0">
      <selection activeCell="L7" sqref="L7"/>
    </sheetView>
  </sheetViews>
  <sheetFormatPr defaultRowHeight="15" x14ac:dyDescent="0.25"/>
  <cols>
    <col min="2" max="2" width="12.7109375" customWidth="1"/>
    <col min="3" max="3" width="12.42578125" customWidth="1"/>
    <col min="4" max="4" width="27.7109375" bestFit="1" customWidth="1"/>
    <col min="5" max="5" width="10.42578125" bestFit="1" customWidth="1"/>
    <col min="6" max="6" width="23.7109375" bestFit="1" customWidth="1"/>
    <col min="7" max="7" width="25.28515625" bestFit="1" customWidth="1"/>
    <col min="8" max="8" width="9.42578125" customWidth="1"/>
    <col min="9" max="9" width="15.28515625" customWidth="1"/>
  </cols>
  <sheetData>
    <row r="3" spans="2:9" ht="18.75" x14ac:dyDescent="0.25">
      <c r="D3" s="8" t="e" cm="1">
        <f t="array" ref="D3">D</f>
        <v>#NAME?</v>
      </c>
    </row>
    <row r="6" spans="2:9" x14ac:dyDescent="0.25">
      <c r="B6" s="29">
        <f>COUNTA(B8:B23)</f>
        <v>16</v>
      </c>
      <c r="C6" s="23"/>
      <c r="D6" s="30">
        <f>AVERAGE(I8:I23)</f>
        <v>54687.5</v>
      </c>
      <c r="E6" s="23"/>
      <c r="F6" s="26" cm="1">
        <f t="array" aca="1" ref="F6" ca="1">AVERAGE(DATEDIF(E8:E23, TODAY(), "Y"))</f>
        <v>32.25</v>
      </c>
      <c r="G6" s="29">
        <f>COUNTIF(H8:H23, "Female")</f>
        <v>8</v>
      </c>
      <c r="H6" s="23"/>
      <c r="I6" s="29">
        <f>COUNTIF(G8:G23,"Intern")</f>
        <v>3</v>
      </c>
    </row>
    <row r="7" spans="2:9" x14ac:dyDescent="0.25">
      <c r="B7" t="s">
        <v>38</v>
      </c>
      <c r="C7" t="s">
        <v>39</v>
      </c>
      <c r="D7" t="s">
        <v>40</v>
      </c>
      <c r="E7" t="s">
        <v>41</v>
      </c>
      <c r="F7" t="s">
        <v>42</v>
      </c>
      <c r="G7" t="s">
        <v>43</v>
      </c>
      <c r="H7" t="s">
        <v>44</v>
      </c>
      <c r="I7" t="s">
        <v>5</v>
      </c>
    </row>
    <row r="8" spans="2:9" x14ac:dyDescent="0.25">
      <c r="B8" t="s">
        <v>95</v>
      </c>
      <c r="C8" t="s">
        <v>96</v>
      </c>
      <c r="D8" s="6" t="s">
        <v>97</v>
      </c>
      <c r="E8" s="7">
        <v>37630</v>
      </c>
      <c r="F8" t="s">
        <v>18</v>
      </c>
      <c r="G8" t="s">
        <v>23</v>
      </c>
      <c r="H8" t="s">
        <v>54</v>
      </c>
      <c r="I8" s="31">
        <v>30000</v>
      </c>
    </row>
    <row r="9" spans="2:9" x14ac:dyDescent="0.25">
      <c r="B9" t="s">
        <v>88</v>
      </c>
      <c r="C9" t="s">
        <v>89</v>
      </c>
      <c r="D9" t="s">
        <v>90</v>
      </c>
      <c r="E9">
        <v>31160</v>
      </c>
      <c r="F9" t="s">
        <v>14</v>
      </c>
      <c r="G9" t="s">
        <v>31</v>
      </c>
      <c r="H9" t="s">
        <v>51</v>
      </c>
      <c r="I9">
        <v>70000</v>
      </c>
    </row>
    <row r="10" spans="2:9" x14ac:dyDescent="0.25">
      <c r="B10" t="s">
        <v>91</v>
      </c>
      <c r="C10" t="s">
        <v>92</v>
      </c>
      <c r="D10" s="6" t="s">
        <v>93</v>
      </c>
      <c r="E10" s="7">
        <v>31587</v>
      </c>
      <c r="F10" t="s">
        <v>14</v>
      </c>
      <c r="G10" t="s">
        <v>31</v>
      </c>
      <c r="H10" t="s">
        <v>51</v>
      </c>
      <c r="I10" s="31">
        <v>70000</v>
      </c>
    </row>
    <row r="11" spans="2:9" x14ac:dyDescent="0.25">
      <c r="B11" t="s">
        <v>85</v>
      </c>
      <c r="C11" t="s">
        <v>86</v>
      </c>
      <c r="D11" t="s">
        <v>87</v>
      </c>
      <c r="E11" s="7">
        <v>36276</v>
      </c>
      <c r="F11" t="s">
        <v>18</v>
      </c>
      <c r="G11" t="s">
        <v>37</v>
      </c>
      <c r="H11" t="s">
        <v>54</v>
      </c>
      <c r="I11" s="9">
        <v>36000</v>
      </c>
    </row>
    <row r="12" spans="2:9" x14ac:dyDescent="0.25">
      <c r="B12" t="s">
        <v>82</v>
      </c>
      <c r="C12" t="s">
        <v>83</v>
      </c>
      <c r="D12" t="s">
        <v>84</v>
      </c>
      <c r="E12" s="7">
        <v>33626</v>
      </c>
      <c r="F12" t="s">
        <v>16</v>
      </c>
      <c r="G12" t="s">
        <v>30</v>
      </c>
      <c r="H12" t="s">
        <v>54</v>
      </c>
      <c r="I12" s="9">
        <v>54000</v>
      </c>
    </row>
    <row r="13" spans="2:9" x14ac:dyDescent="0.25">
      <c r="B13" t="s">
        <v>79</v>
      </c>
      <c r="C13" t="s">
        <v>80</v>
      </c>
      <c r="D13" t="s">
        <v>81</v>
      </c>
      <c r="E13" s="7">
        <v>37703</v>
      </c>
      <c r="F13" t="s">
        <v>18</v>
      </c>
      <c r="G13" t="s">
        <v>23</v>
      </c>
      <c r="H13" t="s">
        <v>54</v>
      </c>
      <c r="I13" s="9">
        <v>28000</v>
      </c>
    </row>
    <row r="14" spans="2:9" x14ac:dyDescent="0.25">
      <c r="B14" t="s">
        <v>76</v>
      </c>
      <c r="C14" t="s">
        <v>77</v>
      </c>
      <c r="D14" t="s">
        <v>78</v>
      </c>
      <c r="E14" s="7">
        <v>33992</v>
      </c>
      <c r="F14" t="s">
        <v>15</v>
      </c>
      <c r="G14" t="s">
        <v>27</v>
      </c>
      <c r="H14" t="s">
        <v>51</v>
      </c>
      <c r="I14" s="9">
        <v>34000</v>
      </c>
    </row>
    <row r="15" spans="2:9" x14ac:dyDescent="0.25">
      <c r="B15" t="s">
        <v>73</v>
      </c>
      <c r="C15" t="s">
        <v>74</v>
      </c>
      <c r="D15" t="s">
        <v>75</v>
      </c>
      <c r="E15" s="7">
        <v>37842</v>
      </c>
      <c r="F15" t="s">
        <v>18</v>
      </c>
      <c r="G15" t="s">
        <v>23</v>
      </c>
      <c r="H15" t="s">
        <v>54</v>
      </c>
      <c r="I15" s="9">
        <v>30000</v>
      </c>
    </row>
    <row r="16" spans="2:9" x14ac:dyDescent="0.25">
      <c r="B16" t="s">
        <v>70</v>
      </c>
      <c r="C16" t="s">
        <v>71</v>
      </c>
      <c r="D16" t="s">
        <v>72</v>
      </c>
      <c r="E16" s="7">
        <v>34823</v>
      </c>
      <c r="F16" t="s">
        <v>14</v>
      </c>
      <c r="G16" t="s">
        <v>21</v>
      </c>
      <c r="H16" t="s">
        <v>54</v>
      </c>
      <c r="I16" s="9">
        <v>65000</v>
      </c>
    </row>
    <row r="17" spans="2:9" x14ac:dyDescent="0.25">
      <c r="B17" t="s">
        <v>67</v>
      </c>
      <c r="C17" t="s">
        <v>68</v>
      </c>
      <c r="D17" t="s">
        <v>69</v>
      </c>
      <c r="E17" s="7">
        <v>31624</v>
      </c>
      <c r="F17" t="s">
        <v>15</v>
      </c>
      <c r="G17" t="s">
        <v>25</v>
      </c>
      <c r="H17" t="s">
        <v>51</v>
      </c>
      <c r="I17" s="9">
        <v>70000</v>
      </c>
    </row>
    <row r="18" spans="2:9" x14ac:dyDescent="0.25">
      <c r="B18" t="s">
        <v>64</v>
      </c>
      <c r="C18" t="s">
        <v>65</v>
      </c>
      <c r="D18" t="s">
        <v>66</v>
      </c>
      <c r="E18" s="7">
        <v>32601</v>
      </c>
      <c r="F18" t="s">
        <v>17</v>
      </c>
      <c r="G18" t="s">
        <v>32</v>
      </c>
      <c r="H18" t="s">
        <v>51</v>
      </c>
      <c r="I18" s="9">
        <v>60000</v>
      </c>
    </row>
    <row r="19" spans="2:9" x14ac:dyDescent="0.25">
      <c r="B19" t="s">
        <v>61</v>
      </c>
      <c r="C19" t="s">
        <v>62</v>
      </c>
      <c r="D19" t="s">
        <v>63</v>
      </c>
      <c r="E19" s="7">
        <v>32029</v>
      </c>
      <c r="F19" t="s">
        <v>18</v>
      </c>
      <c r="G19" t="s">
        <v>36</v>
      </c>
      <c r="H19" t="s">
        <v>54</v>
      </c>
      <c r="I19" s="9">
        <v>80000</v>
      </c>
    </row>
    <row r="20" spans="2:9" x14ac:dyDescent="0.25">
      <c r="B20" t="s">
        <v>56</v>
      </c>
      <c r="C20" t="s">
        <v>60</v>
      </c>
      <c r="D20" t="s">
        <v>59</v>
      </c>
      <c r="E20" s="7">
        <v>36141</v>
      </c>
      <c r="F20" t="s">
        <v>15</v>
      </c>
      <c r="G20" t="s">
        <v>34</v>
      </c>
      <c r="H20" t="s">
        <v>51</v>
      </c>
      <c r="I20" s="9">
        <v>50000</v>
      </c>
    </row>
    <row r="21" spans="2:9" x14ac:dyDescent="0.25">
      <c r="B21" t="s">
        <v>56</v>
      </c>
      <c r="C21" t="s">
        <v>57</v>
      </c>
      <c r="D21" t="s">
        <v>58</v>
      </c>
      <c r="E21" s="7">
        <v>37234</v>
      </c>
      <c r="F21" t="s">
        <v>15</v>
      </c>
      <c r="G21" t="s">
        <v>34</v>
      </c>
      <c r="H21" t="s">
        <v>51</v>
      </c>
      <c r="I21" s="9">
        <v>50000</v>
      </c>
    </row>
    <row r="22" spans="2:9" x14ac:dyDescent="0.25">
      <c r="B22" t="s">
        <v>53</v>
      </c>
      <c r="C22" t="s">
        <v>45</v>
      </c>
      <c r="D22" s="6" t="s">
        <v>46</v>
      </c>
      <c r="E22" s="7">
        <v>31645</v>
      </c>
      <c r="F22" t="s">
        <v>52</v>
      </c>
      <c r="G22" t="s">
        <v>24</v>
      </c>
      <c r="H22" t="s">
        <v>54</v>
      </c>
      <c r="I22" s="9">
        <v>68000</v>
      </c>
    </row>
    <row r="23" spans="2:9" x14ac:dyDescent="0.25">
      <c r="B23" t="s">
        <v>47</v>
      </c>
      <c r="C23" t="s">
        <v>48</v>
      </c>
      <c r="D23" s="6" t="s">
        <v>49</v>
      </c>
      <c r="E23" s="7">
        <v>25960</v>
      </c>
      <c r="F23" t="s">
        <v>14</v>
      </c>
      <c r="G23" t="s">
        <v>19</v>
      </c>
      <c r="H23" t="s">
        <v>51</v>
      </c>
      <c r="I23" s="9">
        <v>80000</v>
      </c>
    </row>
  </sheetData>
  <hyperlinks>
    <hyperlink ref="D22" r:id="rId1" xr:uid="{281A78F3-C363-4912-AD07-1066F9DE5537}"/>
    <hyperlink ref="D23" r:id="rId2" xr:uid="{F47D1888-62F4-47F5-BB39-6679913AD2BD}"/>
    <hyperlink ref="D10" r:id="rId3" xr:uid="{DB3293B0-9A08-4C46-BF1F-C7ECEFF0896E}"/>
    <hyperlink ref="D8" r:id="rId4" xr:uid="{E66F1A38-2ABE-4C6C-A1D1-ED4EBA3B229E}"/>
  </hyperlinks>
  <pageMargins left="0.7" right="0.7" top="0.75" bottom="0.75" header="0.3" footer="0.3"/>
  <pageSetup orientation="portrait" r:id="rId5"/>
  <drawing r:id="rId6"/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B7FF-E1EA-4CD2-9256-61A399E1B8A3}">
  <sheetPr codeName="Sheet3"/>
  <dimension ref="B2:I18"/>
  <sheetViews>
    <sheetView workbookViewId="0">
      <selection activeCell="B18" sqref="B18:I18"/>
    </sheetView>
  </sheetViews>
  <sheetFormatPr defaultRowHeight="15" x14ac:dyDescent="0.25"/>
  <cols>
    <col min="2" max="2" width="25.5703125" bestFit="1" customWidth="1"/>
    <col min="3" max="3" width="25.28515625" bestFit="1" customWidth="1"/>
    <col min="4" max="4" width="30" bestFit="1" customWidth="1"/>
    <col min="5" max="5" width="23" bestFit="1" customWidth="1"/>
    <col min="6" max="6" width="23.7109375" bestFit="1" customWidth="1"/>
  </cols>
  <sheetData>
    <row r="2" spans="2:6" x14ac:dyDescent="0.25">
      <c r="B2" s="1" t="s">
        <v>14</v>
      </c>
      <c r="C2" s="1" t="s">
        <v>15</v>
      </c>
      <c r="D2" s="1" t="s">
        <v>16</v>
      </c>
      <c r="E2" s="1" t="s">
        <v>17</v>
      </c>
      <c r="F2" s="2" t="s">
        <v>18</v>
      </c>
    </row>
    <row r="3" spans="2:6" x14ac:dyDescent="0.25">
      <c r="B3" s="3" t="s">
        <v>19</v>
      </c>
      <c r="C3" s="3" t="s">
        <v>24</v>
      </c>
      <c r="D3" s="3" t="s">
        <v>28</v>
      </c>
      <c r="E3" s="3" t="s">
        <v>32</v>
      </c>
      <c r="F3" s="3" t="s">
        <v>35</v>
      </c>
    </row>
    <row r="4" spans="2:6" x14ac:dyDescent="0.25">
      <c r="B4" s="4" t="s">
        <v>20</v>
      </c>
      <c r="C4" s="4" t="s">
        <v>25</v>
      </c>
      <c r="D4" s="4" t="s">
        <v>29</v>
      </c>
      <c r="E4" s="4" t="s">
        <v>33</v>
      </c>
      <c r="F4" s="4" t="s">
        <v>36</v>
      </c>
    </row>
    <row r="5" spans="2:6" x14ac:dyDescent="0.25">
      <c r="B5" s="4" t="s">
        <v>21</v>
      </c>
      <c r="C5" s="4" t="s">
        <v>26</v>
      </c>
      <c r="D5" s="4" t="s">
        <v>30</v>
      </c>
      <c r="E5" s="4" t="s">
        <v>34</v>
      </c>
      <c r="F5" s="4" t="s">
        <v>37</v>
      </c>
    </row>
    <row r="6" spans="2:6" x14ac:dyDescent="0.25">
      <c r="B6" s="4" t="s">
        <v>22</v>
      </c>
      <c r="C6" s="4" t="s">
        <v>27</v>
      </c>
      <c r="D6" s="4" t="s">
        <v>23</v>
      </c>
      <c r="E6" s="4"/>
      <c r="F6" s="4" t="s">
        <v>23</v>
      </c>
    </row>
    <row r="7" spans="2:6" x14ac:dyDescent="0.25">
      <c r="B7" s="4" t="s">
        <v>31</v>
      </c>
      <c r="C7" s="4"/>
      <c r="D7" s="4"/>
      <c r="E7" s="4"/>
      <c r="F7" s="4"/>
    </row>
    <row r="8" spans="2:6" x14ac:dyDescent="0.25">
      <c r="B8" s="4" t="s">
        <v>23</v>
      </c>
      <c r="C8" s="4"/>
      <c r="D8" s="4"/>
      <c r="E8" s="4"/>
      <c r="F8" s="4"/>
    </row>
    <row r="9" spans="2:6" x14ac:dyDescent="0.25">
      <c r="B9" s="4"/>
      <c r="C9" s="4"/>
      <c r="D9" s="4"/>
      <c r="E9" s="4"/>
      <c r="F9" s="4"/>
    </row>
    <row r="10" spans="2:6" x14ac:dyDescent="0.25">
      <c r="B10" s="5"/>
      <c r="C10" s="5"/>
      <c r="D10" s="5"/>
      <c r="E10" s="5"/>
      <c r="F10" s="5"/>
    </row>
    <row r="18" spans="2:9" x14ac:dyDescent="0.25">
      <c r="B18" t="s">
        <v>94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Dashboard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enervone mercado</dc:creator>
  <cp:lastModifiedBy>enervone mercado</cp:lastModifiedBy>
  <dcterms:created xsi:type="dcterms:W3CDTF">2025-04-07T03:24:43Z</dcterms:created>
  <dcterms:modified xsi:type="dcterms:W3CDTF">2025-05-06T16:38:00Z</dcterms:modified>
</cp:coreProperties>
</file>